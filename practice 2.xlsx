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PR1HYD\Desktop\Data analyst\"/>
    </mc:Choice>
  </mc:AlternateContent>
  <xr:revisionPtr revIDLastSave="0" documentId="13_ncr:1_{30B23535-0E55-4F75-825B-97EA7D21778B}" xr6:coauthVersionLast="47" xr6:coauthVersionMax="47" xr10:uidLastSave="{00000000-0000-0000-0000-000000000000}"/>
  <bookViews>
    <workbookView minimized="1" xWindow="1100" yWindow="1100" windowWidth="14400" windowHeight="7270" firstSheet="2" activeTab="2" xr2:uid="{00000000-000D-0000-FFFF-FFFF00000000}"/>
  </bookViews>
  <sheets>
    <sheet name="Cricket" sheetId="1" r:id="rId1"/>
    <sheet name="Student Name" sheetId="2" r:id="rId2"/>
    <sheet name="City" sheetId="3" r:id="rId3"/>
    <sheet name="Sheet1" sheetId="4" r:id="rId4"/>
  </sheets>
  <definedNames>
    <definedName name="_xlnm._FilterDatabase" localSheetId="0" hidden="1">Cricket!$A$1:$P$21</definedName>
    <definedName name="_xlnm._FilterDatabase" localSheetId="3" hidden="1">Sheet1!$B$2:$F$16</definedName>
    <definedName name="_xlnm._FilterDatabase" localSheetId="1" hidden="1">'Student Name'!$A$3:$N$11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L6" i="2"/>
  <c r="L7" i="2"/>
  <c r="L10" i="2"/>
  <c r="L4" i="2"/>
  <c r="K5" i="2"/>
  <c r="K6" i="2"/>
  <c r="K7" i="2"/>
  <c r="L8" i="2" s="1"/>
  <c r="K8" i="2"/>
  <c r="L9" i="2" s="1"/>
  <c r="K9" i="2"/>
  <c r="K10" i="2"/>
  <c r="K4" i="2"/>
  <c r="M4" i="2" s="1"/>
  <c r="I5" i="2"/>
  <c r="I6" i="2"/>
  <c r="I7" i="2"/>
  <c r="I8" i="2"/>
  <c r="I9" i="2"/>
  <c r="I10" i="2"/>
  <c r="I4" i="2"/>
  <c r="H6" i="2"/>
  <c r="H7" i="2"/>
  <c r="H8" i="2"/>
  <c r="H9" i="2"/>
  <c r="H10" i="2"/>
  <c r="H5" i="2"/>
  <c r="H4" i="2"/>
  <c r="G5" i="2"/>
  <c r="G6" i="2"/>
  <c r="G7" i="2"/>
  <c r="G8" i="2"/>
  <c r="G9" i="2"/>
  <c r="G10" i="2"/>
  <c r="G4" i="2"/>
  <c r="L5" i="2" l="1"/>
</calcChain>
</file>

<file path=xl/sharedStrings.xml><?xml version="1.0" encoding="utf-8"?>
<sst xmlns="http://schemas.openxmlformats.org/spreadsheetml/2006/main" count="93" uniqueCount="80">
  <si>
    <t>Data</t>
  </si>
  <si>
    <t>Index No.</t>
  </si>
  <si>
    <t>First Name</t>
  </si>
  <si>
    <t>Last Name</t>
  </si>
  <si>
    <t>Country</t>
  </si>
  <si>
    <t>1. Sachin Tendulkar (India)</t>
  </si>
  <si>
    <t>2. Sir Don Bradman (Australia)</t>
  </si>
  <si>
    <t>3. Sir Vivian Richards (West Indies)</t>
  </si>
  <si>
    <t>4. Sir Garfield Sobers (West Indies)</t>
  </si>
  <si>
    <t>5. Ricky Ponting (Australia)</t>
  </si>
  <si>
    <t>6. Brian Lara (West Indies)</t>
  </si>
  <si>
    <t>7. Jacques Kallis (South Africa)</t>
  </si>
  <si>
    <t>GPT</t>
  </si>
  <si>
    <t>8. Imran Khan (Pakistan)</t>
  </si>
  <si>
    <t>CountIF</t>
  </si>
  <si>
    <t>9. Kapil Dev (India)</t>
  </si>
  <si>
    <t>Vlookup</t>
  </si>
  <si>
    <t>10. Shane Warne (Australia)</t>
  </si>
  <si>
    <t>Xlookup</t>
  </si>
  <si>
    <t>11. Muttiah Muralitharan (Sri Lanka)</t>
  </si>
  <si>
    <t>12. Wasim Akram (Pakistan)</t>
  </si>
  <si>
    <t>13. Rahul Dravid (India)</t>
  </si>
  <si>
    <t>14. Sir Ian Botham (England)</t>
  </si>
  <si>
    <t>15. Steve Waugh (Australia)</t>
  </si>
  <si>
    <t>16. Virat Kohli (India)</t>
  </si>
  <si>
    <t>17. Anil Kumble (India)</t>
  </si>
  <si>
    <t>18. Glenn McGrath (Australia)</t>
  </si>
  <si>
    <t>19. Chris Gayle (West Indies)</t>
  </si>
  <si>
    <t>20. AB de Villiers (South Africa)</t>
  </si>
  <si>
    <t>Student Name</t>
  </si>
  <si>
    <t>Grade</t>
  </si>
  <si>
    <t>English</t>
  </si>
  <si>
    <t>Math</t>
  </si>
  <si>
    <t>History</t>
  </si>
  <si>
    <t>Science</t>
  </si>
  <si>
    <t>Countif</t>
  </si>
  <si>
    <t>Sumif</t>
  </si>
  <si>
    <t>Average if</t>
  </si>
  <si>
    <t>Countifs</t>
  </si>
  <si>
    <t>City</t>
  </si>
  <si>
    <t>Alice</t>
  </si>
  <si>
    <t>Bob</t>
  </si>
  <si>
    <t>Carol</t>
  </si>
  <si>
    <t>David</t>
  </si>
  <si>
    <t>Emily</t>
  </si>
  <si>
    <t>Frank</t>
  </si>
  <si>
    <t>Grace</t>
  </si>
  <si>
    <t>Helen</t>
  </si>
  <si>
    <t>Ian</t>
  </si>
  <si>
    <t>Jane</t>
  </si>
  <si>
    <t>Kevin</t>
  </si>
  <si>
    <t>Laura</t>
  </si>
  <si>
    <t>A</t>
  </si>
  <si>
    <t>B</t>
  </si>
  <si>
    <t>C</t>
  </si>
  <si>
    <t>D</t>
  </si>
  <si>
    <t>VLOOKUP</t>
  </si>
  <si>
    <t xml:space="preserve"> New York City</t>
  </si>
  <si>
    <t xml:space="preserve"> London</t>
  </si>
  <si>
    <t xml:space="preserve"> Tokyo</t>
  </si>
  <si>
    <t xml:space="preserve"> Mumbai</t>
  </si>
  <si>
    <t xml:space="preserve"> Sydney</t>
  </si>
  <si>
    <t>Beijing</t>
  </si>
  <si>
    <t xml:space="preserve"> Rio de Janeiro</t>
  </si>
  <si>
    <t>Cairo</t>
  </si>
  <si>
    <t>Cape Town</t>
  </si>
  <si>
    <t>Mexico City</t>
  </si>
  <si>
    <t>XlookUp</t>
  </si>
  <si>
    <t>Avg</t>
  </si>
  <si>
    <t>if</t>
  </si>
  <si>
    <t>avg if</t>
  </si>
  <si>
    <t>count ifs</t>
  </si>
  <si>
    <t>Raj</t>
  </si>
  <si>
    <t>rahul</t>
  </si>
  <si>
    <t>ramesh</t>
  </si>
  <si>
    <t>raju</t>
  </si>
  <si>
    <t>date</t>
  </si>
  <si>
    <t>section</t>
  </si>
  <si>
    <t xml:space="preserve"> India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</si>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</sst>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Font="1" applyBorder="1" applyAlignment="1"/>
    <xf numFmtId="14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section</c:v>
                </c:pt>
                <c:pt idx="1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Sheet1!$C$2:$F$2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5-4744-AACD-41865D2A90FF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1</c:v>
                </c:pt>
                <c:pt idx="1">
                  <c:v>1/24/2025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Sheet1!$C$3:$F$3</c:f>
              <c:numCache>
                <c:formatCode>General</c:formatCode>
                <c:ptCount val="4"/>
                <c:pt idx="0">
                  <c:v>425452</c:v>
                </c:pt>
                <c:pt idx="1">
                  <c:v>5365</c:v>
                </c:pt>
                <c:pt idx="2">
                  <c:v>45643</c:v>
                </c:pt>
                <c:pt idx="3">
                  <c:v>4543234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5-4744-AACD-41865D2A90FF}"/>
            </c:ext>
          </c:extLst>
        </c:ser>
        <c:ser>
          <c:idx val="2"/>
          <c:order val="2"/>
          <c:tx>
            <c:strRef>
              <c:f>Sheet1!$A$4:$B$4</c:f>
              <c:strCache>
                <c:ptCount val="2"/>
                <c:pt idx="0">
                  <c:v>1</c:v>
                </c:pt>
                <c:pt idx="1">
                  <c:v>1/22/2025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Sheet1!$C$4:$F$4</c:f>
              <c:numCache>
                <c:formatCode>General</c:formatCode>
                <c:ptCount val="4"/>
                <c:pt idx="0">
                  <c:v>425245</c:v>
                </c:pt>
                <c:pt idx="1">
                  <c:v>43542</c:v>
                </c:pt>
                <c:pt idx="2">
                  <c:v>568756</c:v>
                </c:pt>
                <c:pt idx="3">
                  <c:v>435456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5-4744-AACD-41865D2A90FF}"/>
            </c:ext>
          </c:extLst>
        </c:ser>
        <c:ser>
          <c:idx val="3"/>
          <c:order val="3"/>
          <c:tx>
            <c:strRef>
              <c:f>Sheet1!$A$5:$B$5</c:f>
              <c:strCache>
                <c:ptCount val="2"/>
                <c:pt idx="0">
                  <c:v>1</c:v>
                </c:pt>
                <c:pt idx="1">
                  <c:v>1/21/2025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Sheet1!$C$5:$F$5</c:f>
              <c:numCache>
                <c:formatCode>General</c:formatCode>
                <c:ptCount val="4"/>
                <c:pt idx="0">
                  <c:v>423535</c:v>
                </c:pt>
                <c:pt idx="1">
                  <c:v>53653</c:v>
                </c:pt>
                <c:pt idx="2">
                  <c:v>536</c:v>
                </c:pt>
                <c:pt idx="3">
                  <c:v>45443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5-4744-AACD-41865D2A90FF}"/>
            </c:ext>
          </c:extLst>
        </c:ser>
        <c:ser>
          <c:idx val="4"/>
          <c:order val="4"/>
          <c:tx>
            <c:strRef>
              <c:f>Sheet1!$A$6:$B$6</c:f>
              <c:strCache>
                <c:ptCount val="2"/>
                <c:pt idx="0">
                  <c:v>1</c:v>
                </c:pt>
                <c:pt idx="1">
                  <c:v>1/20/2025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Sheet1!$C$6:$F$6</c:f>
              <c:numCache>
                <c:formatCode>General</c:formatCode>
                <c:ptCount val="4"/>
                <c:pt idx="0">
                  <c:v>254542</c:v>
                </c:pt>
                <c:pt idx="1">
                  <c:v>363643</c:v>
                </c:pt>
                <c:pt idx="2">
                  <c:v>54567</c:v>
                </c:pt>
                <c:pt idx="3">
                  <c:v>65745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5-4744-AACD-41865D2A90FF}"/>
            </c:ext>
          </c:extLst>
        </c:ser>
        <c:ser>
          <c:idx val="5"/>
          <c:order val="5"/>
          <c:tx>
            <c:strRef>
              <c:f>Sheet1!$A$7:$B$7</c:f>
              <c:strCache>
                <c:ptCount val="2"/>
                <c:pt idx="0">
                  <c:v>1</c:v>
                </c:pt>
                <c:pt idx="1">
                  <c:v>1/26/2025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Sheet1!$C$7:$F$7</c:f>
              <c:numCache>
                <c:formatCode>General</c:formatCode>
                <c:ptCount val="4"/>
                <c:pt idx="0">
                  <c:v>56565</c:v>
                </c:pt>
                <c:pt idx="1">
                  <c:v>53656</c:v>
                </c:pt>
                <c:pt idx="2">
                  <c:v>75875</c:v>
                </c:pt>
                <c:pt idx="3">
                  <c:v>56453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E5-4744-AACD-41865D2A90FF}"/>
            </c:ext>
          </c:extLst>
        </c:ser>
        <c:ser>
          <c:idx val="6"/>
          <c:order val="6"/>
          <c:tx>
            <c:strRef>
              <c:f>Sheet1!$A$8:$B$8</c:f>
              <c:strCache>
                <c:ptCount val="2"/>
                <c:pt idx="0">
                  <c:v>2</c:v>
                </c:pt>
                <c:pt idx="1">
                  <c:v>1/25/2025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Sheet1!$C$8:$F$8</c:f>
              <c:numCache>
                <c:formatCode>General</c:formatCode>
                <c:ptCount val="4"/>
                <c:pt idx="0">
                  <c:v>42545</c:v>
                </c:pt>
                <c:pt idx="1">
                  <c:v>45653</c:v>
                </c:pt>
                <c:pt idx="2">
                  <c:v>57453</c:v>
                </c:pt>
                <c:pt idx="3">
                  <c:v>34436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E5-4744-AACD-41865D2A90FF}"/>
            </c:ext>
          </c:extLst>
        </c:ser>
        <c:ser>
          <c:idx val="7"/>
          <c:order val="7"/>
          <c:tx>
            <c:strRef>
              <c:f>Sheet1!$A$9:$B$9</c:f>
              <c:strCache>
                <c:ptCount val="2"/>
                <c:pt idx="0">
                  <c:v>2</c:v>
                </c:pt>
                <c:pt idx="1">
                  <c:v>1/23/2025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Sheet1!$C$9:$F$9</c:f>
              <c:numCache>
                <c:formatCode>General</c:formatCode>
                <c:ptCount val="4"/>
                <c:pt idx="0">
                  <c:v>4254</c:v>
                </c:pt>
                <c:pt idx="1">
                  <c:v>43343</c:v>
                </c:pt>
                <c:pt idx="2">
                  <c:v>675</c:v>
                </c:pt>
                <c:pt idx="3">
                  <c:v>21223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E5-4744-AACD-41865D2A90FF}"/>
            </c:ext>
          </c:extLst>
        </c:ser>
        <c:ser>
          <c:idx val="8"/>
          <c:order val="8"/>
          <c:tx>
            <c:strRef>
              <c:f>Sheet1!$A$10:$B$10</c:f>
              <c:strCache>
                <c:ptCount val="2"/>
                <c:pt idx="0">
                  <c:v>2</c:v>
                </c:pt>
                <c:pt idx="1">
                  <c:v>1/27/2025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Sheet1!$C$10:$F$10</c:f>
              <c:numCache>
                <c:formatCode>General</c:formatCode>
                <c:ptCount val="4"/>
                <c:pt idx="0">
                  <c:v>456456</c:v>
                </c:pt>
                <c:pt idx="1">
                  <c:v>53656</c:v>
                </c:pt>
                <c:pt idx="2">
                  <c:v>457</c:v>
                </c:pt>
                <c:pt idx="3">
                  <c:v>453365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E5-4744-AACD-41865D2A90FF}"/>
            </c:ext>
          </c:extLst>
        </c:ser>
        <c:ser>
          <c:idx val="9"/>
          <c:order val="9"/>
          <c:tx>
            <c:strRef>
              <c:f>Sheet1!$A$11:$B$11</c:f>
              <c:strCache>
                <c:ptCount val="2"/>
                <c:pt idx="0">
                  <c:v>2</c:v>
                </c:pt>
                <c:pt idx="1">
                  <c:v>1/28/2025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Sheet1!$C$11:$F$11</c:f>
              <c:numCache>
                <c:formatCode>General</c:formatCode>
                <c:ptCount val="4"/>
                <c:pt idx="0">
                  <c:v>546456</c:v>
                </c:pt>
                <c:pt idx="1">
                  <c:v>6787</c:v>
                </c:pt>
                <c:pt idx="2">
                  <c:v>67445</c:v>
                </c:pt>
                <c:pt idx="3">
                  <c:v>5635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E5-4744-AACD-41865D2A90FF}"/>
            </c:ext>
          </c:extLst>
        </c:ser>
        <c:ser>
          <c:idx val="10"/>
          <c:order val="10"/>
          <c:tx>
            <c:strRef>
              <c:f>Sheet1!$A$12:$B$12</c:f>
              <c:strCache>
                <c:ptCount val="2"/>
                <c:pt idx="0">
                  <c:v>2</c:v>
                </c:pt>
                <c:pt idx="1">
                  <c:v>1/29/2025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Sheet1!$C$12:$F$12</c:f>
              <c:numCache>
                <c:formatCode>General</c:formatCode>
                <c:ptCount val="4"/>
                <c:pt idx="0">
                  <c:v>536</c:v>
                </c:pt>
                <c:pt idx="1">
                  <c:v>78877</c:v>
                </c:pt>
                <c:pt idx="2">
                  <c:v>456657</c:v>
                </c:pt>
                <c:pt idx="3">
                  <c:v>45645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E5-4744-AACD-41865D2A90FF}"/>
            </c:ext>
          </c:extLst>
        </c:ser>
        <c:ser>
          <c:idx val="11"/>
          <c:order val="11"/>
          <c:tx>
            <c:strRef>
              <c:f>Sheet1!$A$13:$B$13</c:f>
              <c:strCache>
                <c:ptCount val="2"/>
                <c:pt idx="0">
                  <c:v>3</c:v>
                </c:pt>
                <c:pt idx="1">
                  <c:v>1/30/2025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Sheet1!$C$13:$F$13</c:f>
              <c:numCache>
                <c:formatCode>General</c:formatCode>
                <c:ptCount val="4"/>
                <c:pt idx="0">
                  <c:v>565</c:v>
                </c:pt>
                <c:pt idx="1">
                  <c:v>869</c:v>
                </c:pt>
                <c:pt idx="2">
                  <c:v>345356</c:v>
                </c:pt>
                <c:pt idx="3">
                  <c:v>676463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CE5-4744-AACD-41865D2A90FF}"/>
            </c:ext>
          </c:extLst>
        </c:ser>
        <c:ser>
          <c:idx val="12"/>
          <c:order val="12"/>
          <c:tx>
            <c:strRef>
              <c:f>Sheet1!$A$14:$B$14</c:f>
              <c:strCache>
                <c:ptCount val="2"/>
                <c:pt idx="0">
                  <c:v>3</c:v>
                </c:pt>
                <c:pt idx="1">
                  <c:v>1/31/2025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Sheet1!$C$14:$F$14</c:f>
              <c:numCache>
                <c:formatCode>General</c:formatCode>
                <c:ptCount val="4"/>
                <c:pt idx="0">
                  <c:v>5365</c:v>
                </c:pt>
                <c:pt idx="1">
                  <c:v>869867</c:v>
                </c:pt>
                <c:pt idx="2">
                  <c:v>565</c:v>
                </c:pt>
                <c:pt idx="3">
                  <c:v>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E5-4744-AACD-41865D2A90FF}"/>
            </c:ext>
          </c:extLst>
        </c:ser>
        <c:ser>
          <c:idx val="13"/>
          <c:order val="13"/>
          <c:tx>
            <c:strRef>
              <c:f>Sheet1!$A$15:$B$15</c:f>
              <c:strCache>
                <c:ptCount val="2"/>
                <c:pt idx="0">
                  <c:v>3</c:v>
                </c:pt>
                <c:pt idx="1">
                  <c:v>2/1/2025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Sheet1!$C$15:$F$15</c:f>
              <c:numCache>
                <c:formatCode>General</c:formatCode>
                <c:ptCount val="4"/>
                <c:pt idx="0">
                  <c:v>56365</c:v>
                </c:pt>
                <c:pt idx="1">
                  <c:v>76875</c:v>
                </c:pt>
                <c:pt idx="2">
                  <c:v>55656</c:v>
                </c:pt>
                <c:pt idx="3">
                  <c:v>7675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CE5-4744-AACD-41865D2A90FF}"/>
            </c:ext>
          </c:extLst>
        </c:ser>
        <c:ser>
          <c:idx val="14"/>
          <c:order val="14"/>
          <c:tx>
            <c:strRef>
              <c:f>Sheet1!$A$16:$B$16</c:f>
              <c:strCache>
                <c:ptCount val="2"/>
                <c:pt idx="0">
                  <c:v>3</c:v>
                </c:pt>
                <c:pt idx="1">
                  <c:v>2/2/2025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Sheet1!$C$16:$F$16</c:f>
              <c:numCache>
                <c:formatCode>General</c:formatCode>
                <c:ptCount val="4"/>
                <c:pt idx="0">
                  <c:v>53655</c:v>
                </c:pt>
                <c:pt idx="1">
                  <c:v>7565</c:v>
                </c:pt>
                <c:pt idx="2">
                  <c:v>5785</c:v>
                </c:pt>
                <c:pt idx="3">
                  <c:v>476647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E5-4744-AACD-41865D2A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3039"/>
        <c:axId val="173671119"/>
      </c:lineChart>
      <c:catAx>
        <c:axId val="17367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1119"/>
        <c:crosses val="autoZero"/>
        <c:auto val="1"/>
        <c:lblAlgn val="ctr"/>
        <c:lblOffset val="100"/>
        <c:noMultiLvlLbl val="0"/>
      </c:catAx>
      <c:valAx>
        <c:axId val="1736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</xdr:row>
      <xdr:rowOff>6350</xdr:rowOff>
    </xdr:from>
    <xdr:to>
      <xdr:col>13</xdr:col>
      <xdr:colOff>571500</xdr:colOff>
      <xdr:row>15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AA928C-6046-1014-A32E-1A16158C6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P21"/>
  <sheetViews>
    <sheetView workbookViewId="0">
      <selection sqref="A1:XFD1048576"/>
    </sheetView>
  </sheetViews>
  <sheetFormatPr defaultColWidth="12.6328125" defaultRowHeight="15.75" customHeight="1" x14ac:dyDescent="0.25"/>
  <cols>
    <col min="3" max="3" width="30.453125" customWidth="1"/>
    <col min="4" max="4" width="22.36328125" customWidth="1"/>
  </cols>
  <sheetData>
    <row r="1" spans="3:16" ht="13" x14ac:dyDescent="0.3">
      <c r="C1" s="1" t="s">
        <v>0</v>
      </c>
      <c r="D1" s="1"/>
      <c r="E1" s="2" t="s">
        <v>1</v>
      </c>
      <c r="F1" s="1" t="s">
        <v>2</v>
      </c>
      <c r="G1" s="1" t="s">
        <v>3</v>
      </c>
      <c r="H1" s="1" t="s">
        <v>4</v>
      </c>
    </row>
    <row r="2" spans="3:16" ht="15.75" customHeight="1" x14ac:dyDescent="0.25">
      <c r="C2" s="3" t="s">
        <v>5</v>
      </c>
      <c r="D2" s="3"/>
      <c r="E2" s="4"/>
    </row>
    <row r="3" spans="3:16" ht="15.75" customHeight="1" x14ac:dyDescent="0.25">
      <c r="C3" s="3" t="s">
        <v>6</v>
      </c>
      <c r="D3" s="3"/>
      <c r="E3" s="4"/>
    </row>
    <row r="4" spans="3:16" ht="15.75" customHeight="1" x14ac:dyDescent="0.25">
      <c r="C4" s="3" t="s">
        <v>7</v>
      </c>
      <c r="D4" s="3"/>
      <c r="E4" s="5"/>
    </row>
    <row r="5" spans="3:16" ht="15.75" customHeight="1" x14ac:dyDescent="0.25">
      <c r="C5" s="3" t="s">
        <v>8</v>
      </c>
      <c r="D5" s="3"/>
      <c r="E5" s="5"/>
    </row>
    <row r="6" spans="3:16" ht="15.75" customHeight="1" x14ac:dyDescent="0.25">
      <c r="C6" s="3" t="s">
        <v>9</v>
      </c>
      <c r="D6" s="3"/>
      <c r="E6" s="5"/>
    </row>
    <row r="7" spans="3:16" ht="15.75" customHeight="1" x14ac:dyDescent="0.25">
      <c r="C7" s="3" t="s">
        <v>10</v>
      </c>
      <c r="D7" s="3"/>
      <c r="E7" s="5"/>
    </row>
    <row r="8" spans="3:16" ht="15.75" customHeight="1" x14ac:dyDescent="0.25">
      <c r="C8" s="3" t="s">
        <v>11</v>
      </c>
      <c r="D8" s="3"/>
      <c r="E8" s="5"/>
      <c r="P8" s="3" t="s">
        <v>12</v>
      </c>
    </row>
    <row r="9" spans="3:16" ht="15.75" customHeight="1" x14ac:dyDescent="0.25">
      <c r="C9" s="3" t="s">
        <v>13</v>
      </c>
      <c r="D9" s="3"/>
      <c r="E9" s="5"/>
      <c r="P9" s="3" t="s">
        <v>14</v>
      </c>
    </row>
    <row r="10" spans="3:16" ht="15.75" customHeight="1" x14ac:dyDescent="0.25">
      <c r="C10" s="3" t="s">
        <v>15</v>
      </c>
      <c r="D10" s="3"/>
      <c r="E10" s="5"/>
      <c r="P10" s="3" t="s">
        <v>16</v>
      </c>
    </row>
    <row r="11" spans="3:16" ht="12.5" x14ac:dyDescent="0.25">
      <c r="C11" s="3" t="s">
        <v>17</v>
      </c>
      <c r="D11" s="3"/>
      <c r="E11" s="5"/>
      <c r="P11" s="3" t="s">
        <v>18</v>
      </c>
    </row>
    <row r="12" spans="3:16" ht="12.5" x14ac:dyDescent="0.25">
      <c r="C12" s="3" t="s">
        <v>19</v>
      </c>
      <c r="D12" s="3"/>
      <c r="E12" s="5"/>
    </row>
    <row r="13" spans="3:16" ht="12.5" x14ac:dyDescent="0.25">
      <c r="C13" s="3" t="s">
        <v>20</v>
      </c>
      <c r="D13" s="3"/>
      <c r="E13" s="5"/>
    </row>
    <row r="14" spans="3:16" ht="12.5" x14ac:dyDescent="0.25">
      <c r="C14" s="3" t="s">
        <v>21</v>
      </c>
      <c r="D14" s="3"/>
      <c r="E14" s="5"/>
    </row>
    <row r="15" spans="3:16" ht="12.5" x14ac:dyDescent="0.25">
      <c r="C15" s="3" t="s">
        <v>22</v>
      </c>
      <c r="D15" s="3"/>
      <c r="E15" s="5"/>
    </row>
    <row r="16" spans="3:16" ht="12.5" x14ac:dyDescent="0.25">
      <c r="C16" s="3" t="s">
        <v>23</v>
      </c>
      <c r="D16" s="3"/>
      <c r="E16" s="5"/>
    </row>
    <row r="17" spans="3:5" ht="12.5" x14ac:dyDescent="0.25">
      <c r="C17" s="3" t="s">
        <v>24</v>
      </c>
      <c r="D17" s="3"/>
      <c r="E17" s="5"/>
    </row>
    <row r="18" spans="3:5" ht="12.5" x14ac:dyDescent="0.25">
      <c r="C18" s="3" t="s">
        <v>25</v>
      </c>
      <c r="D18" s="3"/>
      <c r="E18" s="5"/>
    </row>
    <row r="19" spans="3:5" ht="12.5" x14ac:dyDescent="0.25">
      <c r="C19" s="3" t="s">
        <v>26</v>
      </c>
      <c r="D19" s="3"/>
      <c r="E19" s="5"/>
    </row>
    <row r="20" spans="3:5" ht="12.5" x14ac:dyDescent="0.25">
      <c r="C20" s="3" t="s">
        <v>27</v>
      </c>
      <c r="D20" s="3"/>
      <c r="E20" s="5"/>
    </row>
    <row r="21" spans="3:5" ht="12.5" x14ac:dyDescent="0.25">
      <c r="C21" s="3" t="s">
        <v>28</v>
      </c>
      <c r="D21" s="3"/>
      <c r="E21" s="5"/>
    </row>
  </sheetData>
  <autoFilter ref="A1:P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3:N22"/>
  <sheetViews>
    <sheetView zoomScale="90" zoomScaleNormal="90" workbookViewId="0">
      <selection activeCell="B22" sqref="B22"/>
    </sheetView>
  </sheetViews>
  <sheetFormatPr defaultColWidth="12.6328125" defaultRowHeight="15.75" customHeight="1" x14ac:dyDescent="0.25"/>
  <sheetData>
    <row r="3" spans="1:14" ht="13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56</v>
      </c>
      <c r="H3" s="1" t="s">
        <v>67</v>
      </c>
      <c r="I3" t="s">
        <v>35</v>
      </c>
      <c r="J3" s="1" t="s">
        <v>36</v>
      </c>
      <c r="K3" s="1" t="s">
        <v>68</v>
      </c>
      <c r="L3" s="1" t="s">
        <v>69</v>
      </c>
      <c r="M3" s="1" t="s">
        <v>70</v>
      </c>
      <c r="N3" s="1" t="s">
        <v>71</v>
      </c>
    </row>
    <row r="4" spans="1:14" ht="15.75" customHeight="1" x14ac:dyDescent="0.25">
      <c r="A4" t="s">
        <v>40</v>
      </c>
      <c r="B4" t="s">
        <v>52</v>
      </c>
      <c r="C4">
        <v>90</v>
      </c>
      <c r="D4">
        <v>85</v>
      </c>
      <c r="E4">
        <v>88</v>
      </c>
      <c r="F4">
        <v>92</v>
      </c>
      <c r="G4" t="str">
        <f>VLOOKUP('Student Name'!A4,City!A1:B13,2,0)</f>
        <v xml:space="preserve"> New York City</v>
      </c>
      <c r="H4" t="str">
        <f>_xlfn.XLOOKUP(A4,City!A:A,City!B:B)</f>
        <v xml:space="preserve"> New York City</v>
      </c>
      <c r="I4">
        <f>COUNTIF(B:B,B4)</f>
        <v>3</v>
      </c>
      <c r="J4">
        <f>SUMIF(B4,B4,C:C)</f>
        <v>0</v>
      </c>
      <c r="K4">
        <f>AVERAGE(C4:F4)</f>
        <v>88.75</v>
      </c>
      <c r="L4" t="str">
        <f>IF(K3&gt;80,"pass","fail")</f>
        <v>pass</v>
      </c>
      <c r="M4">
        <f>AVERAGEIF(B:B,B4,K:K)</f>
        <v>91.416666666666671</v>
      </c>
    </row>
    <row r="5" spans="1:14" ht="15.75" hidden="1" customHeight="1" x14ac:dyDescent="0.25">
      <c r="A5" t="s">
        <v>41</v>
      </c>
      <c r="B5" t="s">
        <v>53</v>
      </c>
      <c r="C5">
        <v>78</v>
      </c>
      <c r="D5">
        <v>92</v>
      </c>
      <c r="E5">
        <v>85</v>
      </c>
      <c r="F5">
        <v>88</v>
      </c>
      <c r="G5" t="str">
        <f>VLOOKUP('Student Name'!A5,City!A2:B14,2,0)</f>
        <v xml:space="preserve"> London</v>
      </c>
      <c r="H5" t="str">
        <f>_xlfn.XLOOKUP(A5,City!A:A,City!B:B)</f>
        <v xml:space="preserve"> London</v>
      </c>
      <c r="I5">
        <f t="shared" ref="I5:I10" si="0">COUNTIF(B:B,B5)</f>
        <v>2</v>
      </c>
      <c r="J5">
        <f>SUMIF(B:B,B4,C:C)</f>
        <v>277</v>
      </c>
      <c r="K5">
        <f t="shared" ref="K5:K10" si="1">AVERAGE(C5:F5)</f>
        <v>85.75</v>
      </c>
      <c r="L5" t="str">
        <f t="shared" ref="L5:L10" si="2">IF(K4&gt;80,"pass","fail")</f>
        <v>pass</v>
      </c>
    </row>
    <row r="6" spans="1:14" ht="15.75" customHeight="1" x14ac:dyDescent="0.25">
      <c r="A6" t="s">
        <v>42</v>
      </c>
      <c r="B6" t="s">
        <v>54</v>
      </c>
      <c r="C6">
        <v>85</v>
      </c>
      <c r="D6">
        <v>76</v>
      </c>
      <c r="E6">
        <v>72</v>
      </c>
      <c r="F6">
        <v>80</v>
      </c>
      <c r="G6" t="str">
        <f>VLOOKUP('Student Name'!A6,City!A3:B15,2,0)</f>
        <v xml:space="preserve"> Tokyo</v>
      </c>
      <c r="H6" t="str">
        <f>_xlfn.XLOOKUP(A6,City!A:A,City!B:B)</f>
        <v xml:space="preserve"> Tokyo</v>
      </c>
      <c r="I6">
        <f t="shared" si="0"/>
        <v>1</v>
      </c>
      <c r="J6">
        <f>SUMIF(B:B,B6,C:C)</f>
        <v>85</v>
      </c>
      <c r="K6">
        <f t="shared" si="1"/>
        <v>78.25</v>
      </c>
      <c r="L6" t="str">
        <f t="shared" si="2"/>
        <v>pass</v>
      </c>
    </row>
    <row r="7" spans="1:14" ht="15.75" hidden="1" customHeight="1" x14ac:dyDescent="0.25">
      <c r="A7" t="s">
        <v>43</v>
      </c>
      <c r="B7" t="s">
        <v>53</v>
      </c>
      <c r="C7">
        <v>70</v>
      </c>
      <c r="D7">
        <v>80</v>
      </c>
      <c r="E7">
        <v>78</v>
      </c>
      <c r="F7">
        <v>75</v>
      </c>
      <c r="G7" t="str">
        <f>VLOOKUP('Student Name'!A7,City!A4:B16,2,0)</f>
        <v xml:space="preserve"> India</v>
      </c>
      <c r="H7" t="str">
        <f>_xlfn.XLOOKUP(A7,City!A:A,City!B:B)</f>
        <v xml:space="preserve"> India</v>
      </c>
      <c r="I7">
        <f t="shared" si="0"/>
        <v>2</v>
      </c>
      <c r="J7">
        <f>SUMIF(B:B,B7,D:D)</f>
        <v>172</v>
      </c>
      <c r="K7">
        <f t="shared" si="1"/>
        <v>75.75</v>
      </c>
      <c r="L7" t="str">
        <f t="shared" si="2"/>
        <v>fail</v>
      </c>
    </row>
    <row r="8" spans="1:14" ht="15.75" customHeight="1" x14ac:dyDescent="0.25">
      <c r="A8" t="s">
        <v>44</v>
      </c>
      <c r="B8" t="s">
        <v>52</v>
      </c>
      <c r="C8">
        <v>92</v>
      </c>
      <c r="D8">
        <v>94</v>
      </c>
      <c r="E8">
        <v>90</v>
      </c>
      <c r="F8">
        <v>95</v>
      </c>
      <c r="G8" t="str">
        <f>VLOOKUP('Student Name'!A8,City!A5:B17,2,0)</f>
        <v xml:space="preserve"> Mumbai</v>
      </c>
      <c r="H8" t="str">
        <f>_xlfn.XLOOKUP(A8,City!A:A,City!B:B)</f>
        <v xml:space="preserve"> Mumbai</v>
      </c>
      <c r="I8">
        <f t="shared" si="0"/>
        <v>3</v>
      </c>
      <c r="K8">
        <f t="shared" si="1"/>
        <v>92.75</v>
      </c>
      <c r="L8" t="str">
        <f t="shared" si="2"/>
        <v>fail</v>
      </c>
    </row>
    <row r="9" spans="1:14" ht="15.75" hidden="1" customHeight="1" x14ac:dyDescent="0.25">
      <c r="A9" t="s">
        <v>45</v>
      </c>
      <c r="B9" t="s">
        <v>55</v>
      </c>
      <c r="C9">
        <v>62</v>
      </c>
      <c r="D9">
        <v>70</v>
      </c>
      <c r="E9">
        <v>68</v>
      </c>
      <c r="F9">
        <v>55</v>
      </c>
      <c r="G9" t="str">
        <f>VLOOKUP('Student Name'!A9,City!A6:B18,2,0)</f>
        <v xml:space="preserve"> Sydney</v>
      </c>
      <c r="H9" t="str">
        <f>_xlfn.XLOOKUP(A9,City!A:A,City!B:B)</f>
        <v xml:space="preserve"> Sydney</v>
      </c>
      <c r="I9">
        <f t="shared" si="0"/>
        <v>1</v>
      </c>
      <c r="K9">
        <f t="shared" si="1"/>
        <v>63.75</v>
      </c>
      <c r="L9" t="str">
        <f t="shared" si="2"/>
        <v>pass</v>
      </c>
    </row>
    <row r="10" spans="1:14" ht="15.75" customHeight="1" x14ac:dyDescent="0.25">
      <c r="A10" t="s">
        <v>45</v>
      </c>
      <c r="B10" t="s">
        <v>52</v>
      </c>
      <c r="C10">
        <v>95</v>
      </c>
      <c r="D10">
        <v>88</v>
      </c>
      <c r="E10">
        <v>92</v>
      </c>
      <c r="F10">
        <v>96</v>
      </c>
      <c r="G10" t="str">
        <f>VLOOKUP('Student Name'!A10,City!A7:B19,2,0)</f>
        <v xml:space="preserve"> Sydney</v>
      </c>
      <c r="H10" t="str">
        <f>_xlfn.XLOOKUP(A10,City!A:A,City!B:B)</f>
        <v xml:space="preserve"> Sydney</v>
      </c>
      <c r="I10">
        <f t="shared" si="0"/>
        <v>3</v>
      </c>
      <c r="K10">
        <f t="shared" si="1"/>
        <v>92.75</v>
      </c>
      <c r="L10" t="str">
        <f t="shared" si="2"/>
        <v>fail</v>
      </c>
    </row>
    <row r="11" spans="1:14" ht="12.5" hidden="1" x14ac:dyDescent="0.25"/>
    <row r="12" spans="1:14" ht="12.5" x14ac:dyDescent="0.25"/>
    <row r="13" spans="1:14" ht="12.5" x14ac:dyDescent="0.25"/>
    <row r="14" spans="1:14" ht="12.5" x14ac:dyDescent="0.25"/>
    <row r="15" spans="1:14" ht="12.5" x14ac:dyDescent="0.25"/>
    <row r="16" spans="1:14" ht="12.5" x14ac:dyDescent="0.25"/>
    <row r="17" spans="5:5" ht="12.5" x14ac:dyDescent="0.25"/>
    <row r="18" spans="5:5" ht="12.5" x14ac:dyDescent="0.25"/>
    <row r="19" spans="5:5" ht="12.5" x14ac:dyDescent="0.25">
      <c r="E19" s="3" t="s">
        <v>35</v>
      </c>
    </row>
    <row r="20" spans="5:5" ht="12.5" x14ac:dyDescent="0.25">
      <c r="E20" s="3" t="s">
        <v>36</v>
      </c>
    </row>
    <row r="21" spans="5:5" ht="15.75" customHeight="1" x14ac:dyDescent="0.25">
      <c r="E21" s="3" t="s">
        <v>37</v>
      </c>
    </row>
    <row r="22" spans="5:5" ht="15.75" customHeight="1" x14ac:dyDescent="0.25">
      <c r="E22" s="3" t="s">
        <v>38</v>
      </c>
    </row>
  </sheetData>
  <autoFilter ref="A3:N11" xr:uid="{00000000-0001-0000-0100-000000000000}">
    <filterColumn colId="1">
      <filters>
        <filter val="A"/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"/>
  <sheetViews>
    <sheetView tabSelected="1" workbookViewId="0">
      <selection activeCell="L3" sqref="L3"/>
    </sheetView>
  </sheetViews>
  <sheetFormatPr defaultColWidth="12.6328125" defaultRowHeight="15.75" customHeight="1" x14ac:dyDescent="0.25"/>
  <cols>
    <col min="2" max="2" width="13.7265625" customWidth="1"/>
  </cols>
  <sheetData>
    <row r="1" spans="1:3" x14ac:dyDescent="0.3">
      <c r="A1" s="1" t="s">
        <v>29</v>
      </c>
      <c r="B1" s="1" t="s">
        <v>39</v>
      </c>
    </row>
    <row r="2" spans="1:3" ht="15.75" customHeight="1" x14ac:dyDescent="0.25">
      <c r="A2" s="3" t="s">
        <v>40</v>
      </c>
      <c r="B2" s="3" t="s">
        <v>57</v>
      </c>
      <c r="C2" s="3"/>
    </row>
    <row r="3" spans="1:3" ht="15.75" customHeight="1" x14ac:dyDescent="0.25">
      <c r="A3" s="3" t="s">
        <v>41</v>
      </c>
      <c r="B3" s="3" t="s">
        <v>58</v>
      </c>
      <c r="C3" s="3"/>
    </row>
    <row r="4" spans="1:3" ht="15.75" customHeight="1" x14ac:dyDescent="0.25">
      <c r="A4" s="6" t="s">
        <v>42</v>
      </c>
      <c r="B4" s="3" t="s">
        <v>59</v>
      </c>
      <c r="C4" s="3"/>
    </row>
    <row r="5" spans="1:3" ht="15.75" customHeight="1" x14ac:dyDescent="0.25">
      <c r="A5" s="6" t="s">
        <v>43</v>
      </c>
      <c r="B5" s="3" t="s">
        <v>78</v>
      </c>
      <c r="C5" s="3"/>
    </row>
    <row r="6" spans="1:3" ht="15.75" customHeight="1" x14ac:dyDescent="0.25">
      <c r="A6" s="6" t="s">
        <v>44</v>
      </c>
      <c r="B6" s="3" t="s">
        <v>60</v>
      </c>
    </row>
    <row r="7" spans="1:3" ht="15.75" customHeight="1" x14ac:dyDescent="0.25">
      <c r="A7" s="6" t="s">
        <v>45</v>
      </c>
      <c r="B7" s="3" t="s">
        <v>61</v>
      </c>
    </row>
    <row r="8" spans="1:3" ht="15.75" customHeight="1" x14ac:dyDescent="0.25">
      <c r="A8" s="6" t="s">
        <v>46</v>
      </c>
      <c r="B8" s="3" t="s">
        <v>62</v>
      </c>
    </row>
    <row r="9" spans="1:3" ht="15.75" customHeight="1" x14ac:dyDescent="0.25">
      <c r="A9" s="6" t="s">
        <v>47</v>
      </c>
      <c r="B9" s="3" t="s">
        <v>63</v>
      </c>
    </row>
    <row r="10" spans="1:3" ht="15.75" customHeight="1" x14ac:dyDescent="0.25">
      <c r="A10" s="6" t="s">
        <v>48</v>
      </c>
      <c r="B10" s="3" t="s">
        <v>64</v>
      </c>
    </row>
    <row r="11" spans="1:3" ht="12.5" x14ac:dyDescent="0.25">
      <c r="A11" s="6" t="s">
        <v>49</v>
      </c>
      <c r="B11" s="3" t="s">
        <v>65</v>
      </c>
    </row>
    <row r="12" spans="1:3" ht="12.5" x14ac:dyDescent="0.25">
      <c r="A12" s="6" t="s">
        <v>50</v>
      </c>
      <c r="B12" s="3" t="s">
        <v>66</v>
      </c>
    </row>
    <row r="13" spans="1:3" ht="12.5" x14ac:dyDescent="0.25">
      <c r="A13" s="6" t="s">
        <v>51</v>
      </c>
      <c r="B13" s="3" t="s">
        <v>79</v>
      </c>
    </row>
    <row r="14" spans="1:3" ht="12.5" x14ac:dyDescent="0.25">
      <c r="A14" s="6"/>
      <c r="B14" s="3"/>
    </row>
    <row r="15" spans="1:3" ht="12.5" x14ac:dyDescent="0.25">
      <c r="A15" s="6"/>
      <c r="B15" s="3"/>
    </row>
    <row r="16" spans="1:3" ht="12.5" x14ac:dyDescent="0.25">
      <c r="A16" s="6"/>
      <c r="B16" s="3"/>
    </row>
    <row r="17" spans="1:2" ht="12.5" x14ac:dyDescent="0.25">
      <c r="A17" s="6"/>
      <c r="B17" s="3"/>
    </row>
    <row r="18" spans="1:2" ht="12.5" x14ac:dyDescent="0.25">
      <c r="A18" s="6"/>
      <c r="B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123C-CAB9-41DB-B09F-7EDEBC0EC464}">
  <sheetPr>
    <tabColor theme="4"/>
  </sheetPr>
  <dimension ref="A2:F16"/>
  <sheetViews>
    <sheetView workbookViewId="0">
      <selection activeCell="P11" sqref="P11"/>
    </sheetView>
  </sheetViews>
  <sheetFormatPr defaultRowHeight="12.5" x14ac:dyDescent="0.25"/>
  <cols>
    <col min="1" max="1" width="8.7265625" style="9"/>
    <col min="2" max="2" width="8.90625" style="7" bestFit="1" customWidth="1"/>
  </cols>
  <sheetData>
    <row r="2" spans="1:6" x14ac:dyDescent="0.25">
      <c r="A2" s="9" t="s">
        <v>77</v>
      </c>
      <c r="B2" s="7" t="s">
        <v>76</v>
      </c>
      <c r="C2" t="s">
        <v>72</v>
      </c>
      <c r="D2" t="s">
        <v>73</v>
      </c>
      <c r="E2" t="s">
        <v>74</v>
      </c>
      <c r="F2" t="s">
        <v>75</v>
      </c>
    </row>
    <row r="3" spans="1:6" x14ac:dyDescent="0.25">
      <c r="A3" s="10">
        <v>1</v>
      </c>
      <c r="B3" s="8">
        <v>45681</v>
      </c>
      <c r="C3">
        <v>425452</v>
      </c>
      <c r="D3">
        <v>5365</v>
      </c>
      <c r="E3">
        <v>45643</v>
      </c>
      <c r="F3">
        <v>4543234</v>
      </c>
    </row>
    <row r="4" spans="1:6" x14ac:dyDescent="0.25">
      <c r="A4" s="10"/>
      <c r="B4" s="8">
        <v>45679</v>
      </c>
      <c r="C4">
        <v>425245</v>
      </c>
      <c r="D4">
        <v>43542</v>
      </c>
      <c r="E4">
        <v>568756</v>
      </c>
      <c r="F4">
        <v>435456</v>
      </c>
    </row>
    <row r="5" spans="1:6" x14ac:dyDescent="0.25">
      <c r="A5" s="10"/>
      <c r="B5" s="8">
        <v>45678</v>
      </c>
      <c r="C5">
        <v>423535</v>
      </c>
      <c r="D5">
        <v>53653</v>
      </c>
      <c r="E5">
        <v>536</v>
      </c>
      <c r="F5">
        <v>45443</v>
      </c>
    </row>
    <row r="6" spans="1:6" x14ac:dyDescent="0.25">
      <c r="A6" s="10"/>
      <c r="B6" s="8">
        <v>45677</v>
      </c>
      <c r="C6">
        <v>254542</v>
      </c>
      <c r="D6">
        <v>363643</v>
      </c>
      <c r="E6">
        <v>54567</v>
      </c>
      <c r="F6">
        <v>65745</v>
      </c>
    </row>
    <row r="7" spans="1:6" x14ac:dyDescent="0.25">
      <c r="A7" s="10"/>
      <c r="B7" s="8">
        <v>45683</v>
      </c>
      <c r="C7">
        <v>56565</v>
      </c>
      <c r="D7">
        <v>53656</v>
      </c>
      <c r="E7">
        <v>75875</v>
      </c>
      <c r="F7">
        <v>56453</v>
      </c>
    </row>
    <row r="8" spans="1:6" x14ac:dyDescent="0.25">
      <c r="A8" s="10">
        <v>2</v>
      </c>
      <c r="B8" s="8">
        <v>45682</v>
      </c>
      <c r="C8">
        <v>42545</v>
      </c>
      <c r="D8">
        <v>45653</v>
      </c>
      <c r="E8">
        <v>57453</v>
      </c>
      <c r="F8">
        <v>34436</v>
      </c>
    </row>
    <row r="9" spans="1:6" x14ac:dyDescent="0.25">
      <c r="A9" s="10"/>
      <c r="B9" s="8">
        <v>45680</v>
      </c>
      <c r="C9">
        <v>4254</v>
      </c>
      <c r="D9">
        <v>43343</v>
      </c>
      <c r="E9">
        <v>675</v>
      </c>
      <c r="F9">
        <v>21223</v>
      </c>
    </row>
    <row r="10" spans="1:6" x14ac:dyDescent="0.25">
      <c r="A10" s="10"/>
      <c r="B10" s="8">
        <v>45684</v>
      </c>
      <c r="C10">
        <v>456456</v>
      </c>
      <c r="D10">
        <v>53656</v>
      </c>
      <c r="E10">
        <v>457</v>
      </c>
      <c r="F10">
        <v>453365</v>
      </c>
    </row>
    <row r="11" spans="1:6" x14ac:dyDescent="0.25">
      <c r="A11" s="10"/>
      <c r="B11" s="8">
        <v>45685</v>
      </c>
      <c r="C11">
        <v>546456</v>
      </c>
      <c r="D11">
        <v>6787</v>
      </c>
      <c r="E11">
        <v>67445</v>
      </c>
      <c r="F11">
        <v>5635</v>
      </c>
    </row>
    <row r="12" spans="1:6" x14ac:dyDescent="0.25">
      <c r="A12" s="10"/>
      <c r="B12" s="8">
        <v>45686</v>
      </c>
      <c r="C12">
        <v>536</v>
      </c>
      <c r="D12">
        <v>78877</v>
      </c>
      <c r="E12">
        <v>456657</v>
      </c>
      <c r="F12">
        <v>45645</v>
      </c>
    </row>
    <row r="13" spans="1:6" x14ac:dyDescent="0.25">
      <c r="A13" s="10">
        <v>3</v>
      </c>
      <c r="B13" s="8">
        <v>45687</v>
      </c>
      <c r="C13">
        <v>565</v>
      </c>
      <c r="D13">
        <v>869</v>
      </c>
      <c r="E13">
        <v>345356</v>
      </c>
      <c r="F13">
        <v>676463</v>
      </c>
    </row>
    <row r="14" spans="1:6" x14ac:dyDescent="0.25">
      <c r="A14" s="10"/>
      <c r="B14" s="8">
        <v>45688</v>
      </c>
      <c r="C14">
        <v>5365</v>
      </c>
      <c r="D14">
        <v>869867</v>
      </c>
      <c r="E14">
        <v>565</v>
      </c>
      <c r="F14">
        <v>6437</v>
      </c>
    </row>
    <row r="15" spans="1:6" x14ac:dyDescent="0.25">
      <c r="A15" s="10"/>
      <c r="B15" s="8">
        <v>45689</v>
      </c>
      <c r="C15">
        <v>56365</v>
      </c>
      <c r="D15">
        <v>76875</v>
      </c>
      <c r="E15">
        <v>55656</v>
      </c>
      <c r="F15">
        <v>7675</v>
      </c>
    </row>
    <row r="16" spans="1:6" x14ac:dyDescent="0.25">
      <c r="A16" s="10"/>
      <c r="B16" s="8">
        <v>45690</v>
      </c>
      <c r="C16">
        <v>53655</v>
      </c>
      <c r="D16">
        <v>7565</v>
      </c>
      <c r="E16">
        <v>5785</v>
      </c>
      <c r="F16">
        <v>476647</v>
      </c>
    </row>
  </sheetData>
  <autoFilter ref="B2:F16" xr:uid="{6D62123C-CAB9-41DB-B09F-7EDEBC0EC464}"/>
  <mergeCells count="3">
    <mergeCell ref="A3:A7"/>
    <mergeCell ref="A8:A12"/>
    <mergeCell ref="A13:A16"/>
  </mergeCells>
  <conditionalFormatting sqref="C1:C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{1FF85BCA-682A-494C-B03C-199333297E05}</x14:id>
        </ext>
      </extLst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F85BCA-682A-494C-B03C-199333297E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Cricket</vt:lpstr>
      <vt:lpstr>Student Name</vt:lpstr>
      <vt:lpstr>City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Kumar Prateek (BGSW/PJ-ETA-H)</dc:creator>
  <cp:lastModifiedBy>FIXED-TERM Kumar Prateek (BGSW/PJ-ETA-H)</cp:lastModifiedBy>
  <dcterms:created xsi:type="dcterms:W3CDTF">2025-12-10T07:13:28Z</dcterms:created>
  <dcterms:modified xsi:type="dcterms:W3CDTF">2025-12-11T05:13:56Z</dcterms:modified>
</cp:coreProperties>
</file>